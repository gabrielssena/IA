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<sst xmlns="http://schemas.openxmlformats.org/spreadsheetml/2006/main" count="38" uniqueCount="25">
  <si>
    <t>Tipo de Lente</t>
  </si>
  <si>
    <t>Proporção</t>
  </si>
  <si>
    <t>Log</t>
  </si>
  <si>
    <t>Entropia</t>
  </si>
  <si>
    <t>Nenhuma</t>
  </si>
  <si>
    <t>Gelatinosa</t>
  </si>
  <si>
    <t>Dura</t>
  </si>
  <si>
    <t>Entropia Total</t>
  </si>
  <si>
    <t>Idade</t>
  </si>
  <si>
    <t>IG</t>
  </si>
  <si>
    <t>Infantil</t>
  </si>
  <si>
    <t>N</t>
  </si>
  <si>
    <t>G</t>
  </si>
  <si>
    <t>D</t>
  </si>
  <si>
    <t>Entropia Infantil</t>
  </si>
  <si>
    <t>Adolescente</t>
  </si>
  <si>
    <t>Entropia Adolescente</t>
  </si>
  <si>
    <t>Adulto</t>
  </si>
  <si>
    <t>Entropia do Adulto</t>
  </si>
  <si>
    <t>Taxa Lacrimal</t>
  </si>
  <si>
    <t>Normal</t>
  </si>
  <si>
    <t>Entropia Normal</t>
  </si>
  <si>
    <t/>
  </si>
  <si>
    <t>Reduzida</t>
  </si>
  <si>
    <t>Entropia Reduzida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</si>
</sst>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B2" s="1"/>
      <c r="C2" s="1"/>
      <c r="D2" s="1" t="s">
        <v>1</v>
      </c>
      <c r="E2" s="1" t="s">
        <v>2</v>
      </c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2">
        <v>3.0</v>
      </c>
      <c r="C3" s="2">
        <v>15.0</v>
      </c>
      <c r="D3" s="2">
        <f t="shared" ref="D3:D5" si="1">B3/C3</f>
        <v>0.2</v>
      </c>
      <c r="E3" s="2">
        <f t="shared" ref="E3:E5" si="2">log(D3,2)</f>
        <v>-2.321928095</v>
      </c>
      <c r="F3" s="2">
        <f t="shared" ref="F3:F5" si="3">-(D3*E3)</f>
        <v>0.464385619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2">
        <v>8.0</v>
      </c>
      <c r="C4" s="2">
        <v>15.0</v>
      </c>
      <c r="D4" s="2">
        <f t="shared" si="1"/>
        <v>0.5333333333</v>
      </c>
      <c r="E4" s="2">
        <f t="shared" si="2"/>
        <v>-0.9068905956</v>
      </c>
      <c r="F4" s="2">
        <f t="shared" si="3"/>
        <v>0.4836749843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2">
        <v>4.0</v>
      </c>
      <c r="C5" s="2">
        <v>15.0</v>
      </c>
      <c r="D5" s="2">
        <f t="shared" si="1"/>
        <v>0.2666666667</v>
      </c>
      <c r="E5" s="2">
        <f t="shared" si="2"/>
        <v>-1.906890596</v>
      </c>
      <c r="F5" s="2">
        <f t="shared" si="3"/>
        <v>0.5085041588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 t="s">
        <v>7</v>
      </c>
      <c r="F6" s="2">
        <f>SUM(F3:F5)</f>
        <v>1.456564762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8</v>
      </c>
      <c r="B9" s="1"/>
      <c r="C9" s="1"/>
      <c r="D9" s="1"/>
      <c r="E9" s="1"/>
      <c r="F9" s="1"/>
      <c r="G9" s="1" t="s">
        <v>9</v>
      </c>
      <c r="H9" s="2">
        <f>F6-G10-G15-G20</f>
        <v>0.04860373021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2">
        <v>4.0</v>
      </c>
      <c r="C10" s="2">
        <f>B10/15</f>
        <v>0.2666666667</v>
      </c>
      <c r="D10" s="1"/>
      <c r="E10" s="1"/>
      <c r="F10" s="1"/>
      <c r="G10" s="2">
        <f>C10*F14</f>
        <v>0.4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</v>
      </c>
      <c r="B11" s="2">
        <v>1.0</v>
      </c>
      <c r="C11" s="2">
        <v>4.0</v>
      </c>
      <c r="D11" s="2">
        <f t="shared" ref="D11:D13" si="4">B11/C11</f>
        <v>0.25</v>
      </c>
      <c r="E11" s="2">
        <f t="shared" ref="E11:E13" si="5">log(D11,2)</f>
        <v>-2</v>
      </c>
      <c r="F11" s="2">
        <f t="shared" ref="F11:F13" si="6">-(D11*E11)</f>
        <v>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12</v>
      </c>
      <c r="B12" s="2">
        <v>2.0</v>
      </c>
      <c r="C12" s="2">
        <v>4.0</v>
      </c>
      <c r="D12" s="2">
        <f t="shared" si="4"/>
        <v>0.5</v>
      </c>
      <c r="E12" s="2">
        <f t="shared" si="5"/>
        <v>-1</v>
      </c>
      <c r="F12" s="2">
        <f t="shared" si="6"/>
        <v>0.5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13</v>
      </c>
      <c r="B13" s="2">
        <v>1.0</v>
      </c>
      <c r="C13" s="2">
        <v>4.0</v>
      </c>
      <c r="D13" s="2">
        <f t="shared" si="4"/>
        <v>0.25</v>
      </c>
      <c r="E13" s="2">
        <f t="shared" si="5"/>
        <v>-2</v>
      </c>
      <c r="F13" s="2">
        <f t="shared" si="6"/>
        <v>0.5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 t="s">
        <v>14</v>
      </c>
      <c r="F14" s="2">
        <f>SUM(F11:F13)</f>
        <v>1.5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</v>
      </c>
      <c r="B15" s="2">
        <v>5.0</v>
      </c>
      <c r="C15" s="2">
        <f>B15/15</f>
        <v>0.3333333333</v>
      </c>
      <c r="D15" s="1"/>
      <c r="E15" s="1"/>
      <c r="F15" s="1"/>
      <c r="G15" s="2">
        <f>C15*F19</f>
        <v>0.507309365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11</v>
      </c>
      <c r="B16" s="2">
        <v>1.0</v>
      </c>
      <c r="C16" s="2">
        <v>5.0</v>
      </c>
      <c r="D16" s="2">
        <f t="shared" ref="D16:D18" si="7">B16/C16</f>
        <v>0.2</v>
      </c>
      <c r="E16" s="2">
        <f t="shared" ref="E16:E18" si="8">log(D16,2)</f>
        <v>-2.321928095</v>
      </c>
      <c r="F16" s="2">
        <f t="shared" ref="F16:F18" si="9">-(D16*E16)</f>
        <v>0.464385619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12</v>
      </c>
      <c r="B17" s="2">
        <v>2.0</v>
      </c>
      <c r="C17" s="2">
        <v>5.0</v>
      </c>
      <c r="D17" s="2">
        <f t="shared" si="7"/>
        <v>0.4</v>
      </c>
      <c r="E17" s="2">
        <f t="shared" si="8"/>
        <v>-1.321928095</v>
      </c>
      <c r="F17" s="2">
        <f t="shared" si="9"/>
        <v>0.528771238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</v>
      </c>
      <c r="B18" s="2">
        <v>2.0</v>
      </c>
      <c r="C18" s="2">
        <v>5.0</v>
      </c>
      <c r="D18" s="2">
        <f t="shared" si="7"/>
        <v>0.4</v>
      </c>
      <c r="E18" s="2">
        <f t="shared" si="8"/>
        <v>-1.321928095</v>
      </c>
      <c r="F18" s="2">
        <f t="shared" si="9"/>
        <v>0.528771238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 t="s">
        <v>16</v>
      </c>
      <c r="F19" s="2">
        <f>SUM(F16:F18)</f>
        <v>1.521928095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17</v>
      </c>
      <c r="B20" s="2">
        <v>6.0</v>
      </c>
      <c r="C20" s="2">
        <f>B20/15</f>
        <v>0.4</v>
      </c>
      <c r="D20" s="1"/>
      <c r="E20" s="1"/>
      <c r="F20" s="1"/>
      <c r="G20" s="2">
        <f>C20*F24</f>
        <v>0.500651667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11</v>
      </c>
      <c r="B21" s="2">
        <v>1.0</v>
      </c>
      <c r="C21" s="2">
        <v>6.0</v>
      </c>
      <c r="D21" s="2">
        <f t="shared" ref="D21:D23" si="10">B21/C21</f>
        <v>0.1666666667</v>
      </c>
      <c r="E21" s="2">
        <f t="shared" ref="E21:E23" si="11">log(D21,2)</f>
        <v>-2.584962501</v>
      </c>
      <c r="F21" s="2">
        <f t="shared" ref="F21:F23" si="12">-(D21*E21)</f>
        <v>0.4308270835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12</v>
      </c>
      <c r="B22" s="2">
        <v>4.0</v>
      </c>
      <c r="C22" s="2">
        <v>6.0</v>
      </c>
      <c r="D22" s="2">
        <f t="shared" si="10"/>
        <v>0.6666666667</v>
      </c>
      <c r="E22" s="2">
        <f t="shared" si="11"/>
        <v>-0.5849625007</v>
      </c>
      <c r="F22" s="2">
        <f t="shared" si="12"/>
        <v>0.3899750005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13</v>
      </c>
      <c r="B23" s="2">
        <v>1.0</v>
      </c>
      <c r="C23" s="2">
        <v>6.0</v>
      </c>
      <c r="D23" s="2">
        <f t="shared" si="10"/>
        <v>0.1666666667</v>
      </c>
      <c r="E23" s="2">
        <f t="shared" si="11"/>
        <v>-2.584962501</v>
      </c>
      <c r="F23" s="2">
        <f t="shared" si="12"/>
        <v>0.4308270835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 t="s">
        <v>18</v>
      </c>
      <c r="F24" s="2">
        <f>SUM(F21:F23)</f>
        <v>1.251629167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19</v>
      </c>
      <c r="B26" s="1"/>
      <c r="C26" s="1"/>
      <c r="D26" s="1"/>
      <c r="E26" s="1"/>
      <c r="F26" s="1"/>
      <c r="G26" s="1" t="s">
        <v>9</v>
      </c>
      <c r="H26" s="2">
        <f>F6-G27-G32</f>
        <v>0.4856141677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20</v>
      </c>
      <c r="B27" s="1"/>
      <c r="C27" s="2">
        <f>10/15</f>
        <v>0.6666666667</v>
      </c>
      <c r="D27" s="1"/>
      <c r="E27" s="1"/>
      <c r="F27" s="1"/>
      <c r="G27" s="2">
        <f>F31*C27</f>
        <v>0.6473003963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</v>
      </c>
      <c r="B28" s="2">
        <v>0.0</v>
      </c>
      <c r="C28" s="2">
        <v>10.0</v>
      </c>
      <c r="D28" s="2">
        <f t="shared" ref="D28:D30" si="13">B28/C28</f>
        <v>0</v>
      </c>
      <c r="E28" s="2">
        <v>0.0</v>
      </c>
      <c r="F28" s="2">
        <v>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</v>
      </c>
      <c r="B29" s="2">
        <v>6.0</v>
      </c>
      <c r="C29" s="2">
        <v>10.0</v>
      </c>
      <c r="D29" s="2">
        <f t="shared" si="13"/>
        <v>0.6</v>
      </c>
      <c r="E29" s="2">
        <f t="shared" ref="E29:E30" si="14">log(D29,2)</f>
        <v>-0.7369655942</v>
      </c>
      <c r="F29" s="2">
        <f t="shared" ref="F29:F30" si="15">-(D29*E29)</f>
        <v>0.4421793565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</v>
      </c>
      <c r="B30" s="2">
        <v>4.0</v>
      </c>
      <c r="C30" s="2">
        <v>10.0</v>
      </c>
      <c r="D30" s="2">
        <f t="shared" si="13"/>
        <v>0.4</v>
      </c>
      <c r="E30" s="2">
        <f t="shared" si="14"/>
        <v>-1.321928095</v>
      </c>
      <c r="F30" s="2">
        <f t="shared" si="15"/>
        <v>0.528771238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 t="s">
        <v>21</v>
      </c>
      <c r="F31" s="2">
        <f>SUM(F28:F30)</f>
        <v>0.9709505945</v>
      </c>
      <c r="G31" s="4" t="s">
        <v>22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23</v>
      </c>
      <c r="B32" s="1"/>
      <c r="C32" s="2">
        <f>5/15</f>
        <v>0.3333333333</v>
      </c>
      <c r="D32" s="1"/>
      <c r="E32" s="1"/>
      <c r="F32" s="1"/>
      <c r="G32" s="2">
        <f>F36*C32</f>
        <v>0.3236501982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11</v>
      </c>
      <c r="B33" s="2">
        <v>3.0</v>
      </c>
      <c r="C33" s="2">
        <v>5.0</v>
      </c>
      <c r="D33" s="2">
        <f t="shared" ref="D33:D35" si="16">B33/C33</f>
        <v>0.6</v>
      </c>
      <c r="E33" s="2">
        <f t="shared" ref="E33:E34" si="17">log(D33,2)</f>
        <v>-0.7369655942</v>
      </c>
      <c r="F33" s="2">
        <f t="shared" ref="F33:F34" si="18">-(D33*E33)</f>
        <v>0.4421793565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12</v>
      </c>
      <c r="B34" s="2">
        <v>2.0</v>
      </c>
      <c r="C34" s="2">
        <v>5.0</v>
      </c>
      <c r="D34" s="2">
        <f t="shared" si="16"/>
        <v>0.4</v>
      </c>
      <c r="E34" s="2">
        <f t="shared" si="17"/>
        <v>-1.321928095</v>
      </c>
      <c r="F34" s="2">
        <f t="shared" si="18"/>
        <v>0.528771238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13</v>
      </c>
      <c r="B35" s="2">
        <v>0.0</v>
      </c>
      <c r="C35" s="2">
        <v>5.0</v>
      </c>
      <c r="D35" s="2">
        <f t="shared" si="16"/>
        <v>0</v>
      </c>
      <c r="E35" s="2">
        <v>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 t="s">
        <v>24</v>
      </c>
      <c r="F36" s="2">
        <f>SUM(F33:F35)</f>
        <v>0.9709505945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